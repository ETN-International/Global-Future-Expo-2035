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cio Economico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2F5F9"/>
        <bgColor rgb="00F2F5F9"/>
      </patternFill>
    </fill>
    <fill>
      <patternFill patternType="solid">
        <fgColor rgb="00E9EDF4"/>
        <bgColor rgb="00E9EDF4"/>
      </patternFill>
    </fill>
    <fill>
      <patternFill patternType="solid">
        <fgColor rgb="00C00000"/>
        <bgColor rgb="00C00000"/>
      </patternFill>
    </fill>
    <fill>
      <patternFill patternType="solid">
        <fgColor rgb="007F7F7F"/>
        <bgColor rgb="007F7F7F"/>
      </patternFill>
    </fill>
    <fill>
      <patternFill patternType="solid">
        <fgColor rgb="00E2EFDA"/>
        <bgColor rgb="00E2EFDA"/>
      </patternFill>
    </fill>
    <fill>
      <patternFill patternType="solid">
        <fgColor rgb="005B9BD5"/>
        <bgColor rgb="005B9BD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0" fontId="5" fillId="5" borderId="2" pivotButton="0" quotePrefix="0" xfId="0"/>
    <xf numFmtId="0" fontId="0" fillId="5" borderId="2" pivotButton="0" quotePrefix="0" xfId="0"/>
    <xf numFmtId="164" fontId="5" fillId="5" borderId="2" applyAlignment="1" pivotButton="0" quotePrefix="0" xfId="0">
      <alignment horizontal="right" vertical="center"/>
    </xf>
    <xf numFmtId="9" fontId="5" fillId="5" borderId="2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8" borderId="2" pivotButton="0" quotePrefix="0" xfId="0"/>
    <xf numFmtId="164" fontId="5" fillId="8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Incidenza % Canali di Entrata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'Bilancio Economico V2'!D4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'Bilancio Economico V2'!$A$5:$A$8</f>
            </numRef>
          </cat>
          <val>
            <numRef>
              <f>'Bilancio Economico V2'!$D$5:$D$8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Canali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Percentuale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Incidenza % Voci di Costo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'Bilancio Economico V2'!D12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'Bilancio Economico V2'!$A$13:$A$17</f>
            </numRef>
          </cat>
          <val>
            <numRef>
              <f>'Bilancio Economico V2'!$D$13:$D$17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Percentuale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14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13</row>
      <rowOff>0</rowOff>
    </from>
    <ext cx="414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45" customWidth="1" min="2" max="2"/>
    <col width="25" customWidth="1" min="3" max="3"/>
    <col width="43" customWidth="1" min="4" max="4"/>
    <col width="28" customWidth="1" min="5" max="5"/>
  </cols>
  <sheetData>
    <row r="1" ht="40" customHeight="1">
      <c r="A1" s="1" t="inlineStr">
        <is>
          <t>PIANO ECONOMICO INTEGRATO: EXPO BARCELLONA 2035</t>
        </is>
      </c>
    </row>
    <row r="2"/>
    <row r="3">
      <c r="A3" s="2" t="inlineStr">
        <is>
          <t>1. Canali di Entrata (Ricavi)</t>
        </is>
      </c>
    </row>
    <row r="4" ht="24" customHeight="1">
      <c r="A4" s="3" t="inlineStr">
        <is>
          <t>Categoria Entrata</t>
        </is>
      </c>
      <c r="B4" s="3" t="inlineStr">
        <is>
          <t>Calcolo / Descrizione</t>
        </is>
      </c>
      <c r="C4" s="3" t="inlineStr">
        <is>
          <t>Valore (€)</t>
        </is>
      </c>
      <c r="D4" s="3" t="inlineStr">
        <is>
          <t>Incidenza %</t>
        </is>
      </c>
    </row>
    <row r="5" ht="20" customHeight="1">
      <c r="A5" s="4" t="inlineStr">
        <is>
          <t>Vendita Biglietti</t>
        </is>
      </c>
      <c r="B5" s="4" t="inlineStr">
        <is>
          <t>100.000 visitatori x 15€</t>
        </is>
      </c>
      <c r="C5" s="5" t="n">
        <v>1500000</v>
      </c>
      <c r="D5" s="6">
        <f>C5/$C$9</f>
        <v/>
      </c>
    </row>
    <row r="6" ht="20" customHeight="1">
      <c r="A6" s="7" t="inlineStr">
        <is>
          <t>Affitto Spazi Espositori</t>
        </is>
      </c>
      <c r="B6" s="7" t="inlineStr">
        <is>
          <t>Tariffa stand aziende tech</t>
        </is>
      </c>
      <c r="C6" s="8" t="n">
        <v>1000000</v>
      </c>
      <c r="D6" s="9">
        <f>C6/$C$9</f>
        <v/>
      </c>
    </row>
    <row r="7" ht="20" customHeight="1">
      <c r="A7" s="4" t="inlineStr">
        <is>
          <t>Sponsor Ufficiali</t>
        </is>
      </c>
      <c r="B7" s="4" t="inlineStr">
        <is>
          <t>Finanziamenti brand partner</t>
        </is>
      </c>
      <c r="C7" s="5" t="n">
        <v>500000</v>
      </c>
      <c r="D7" s="6">
        <f>C7/$C$9</f>
        <v/>
      </c>
    </row>
    <row r="8" ht="20" customHeight="1">
      <c r="A8" s="7" t="inlineStr">
        <is>
          <t>Area Food &amp; Merchandising</t>
        </is>
      </c>
      <c r="B8" s="7" t="inlineStr">
        <is>
          <t>Percentuale vendite e gadget</t>
        </is>
      </c>
      <c r="C8" s="8" t="n">
        <v>200000</v>
      </c>
      <c r="D8" s="9">
        <f>C8/$C$9</f>
        <v/>
      </c>
    </row>
    <row r="9" ht="20" customHeight="1">
      <c r="A9" s="10" t="inlineStr">
        <is>
          <t>TOTALE ENTRATE</t>
        </is>
      </c>
      <c r="B9" s="11" t="inlineStr"/>
      <c r="C9" s="12">
        <f>SUM(C5:C8)</f>
        <v/>
      </c>
      <c r="D9" s="13">
        <f>SUM(D5:D8)</f>
        <v/>
      </c>
    </row>
    <row r="10"/>
    <row r="11">
      <c r="A11" s="2" t="inlineStr">
        <is>
          <t>2. Voci di Uscita (Costi Operativi)</t>
        </is>
      </c>
    </row>
    <row r="12" ht="24" customHeight="1">
      <c r="A12" s="14" t="inlineStr">
        <is>
          <t>Categoria Uscita</t>
        </is>
      </c>
      <c r="B12" s="14" t="inlineStr">
        <is>
          <t>Descrizione Spesa</t>
        </is>
      </c>
      <c r="C12" s="14" t="inlineStr">
        <is>
          <t>Valore (€)</t>
        </is>
      </c>
      <c r="D12" s="14" t="inlineStr">
        <is>
          <t>Incidenza %</t>
        </is>
      </c>
    </row>
    <row r="13" ht="20" customHeight="1">
      <c r="A13" s="4" t="inlineStr">
        <is>
          <t>Affitto Location</t>
        </is>
      </c>
      <c r="B13" s="4" t="inlineStr">
        <is>
          <t>Spazi espositivi Fira Barcelona</t>
        </is>
      </c>
      <c r="C13" s="5" t="n">
        <v>600000</v>
      </c>
      <c r="D13" s="6">
        <f>C13/$C$18</f>
        <v/>
      </c>
    </row>
    <row r="14" ht="20" customHeight="1">
      <c r="A14" s="7" t="inlineStr">
        <is>
          <t>Allestimento Tecnologico</t>
        </is>
      </c>
      <c r="B14" s="7" t="inlineStr">
        <is>
          <t>Stand futuristici, ologrammi, schermi</t>
        </is>
      </c>
      <c r="C14" s="8" t="n">
        <v>1100000</v>
      </c>
      <c r="D14" s="9">
        <f>C14/$C$18</f>
        <v/>
      </c>
    </row>
    <row r="15" ht="20" customHeight="1">
      <c r="A15" s="4" t="inlineStr">
        <is>
          <t>Impianto Energetico Green</t>
        </is>
      </c>
      <c r="B15" s="4" t="inlineStr">
        <is>
          <t>Pavimenti cinetici e idrogeno</t>
        </is>
      </c>
      <c r="C15" s="5" t="n">
        <v>400000</v>
      </c>
      <c r="D15" s="6">
        <f>C15/$C$18</f>
        <v/>
      </c>
    </row>
    <row r="16" ht="20" customHeight="1">
      <c r="A16" s="7" t="inlineStr">
        <is>
          <t>Personale e Sicurezza</t>
        </is>
      </c>
      <c r="B16" s="7" t="inlineStr">
        <is>
          <t>Staff, tecnici, hostess, medici, security</t>
        </is>
      </c>
      <c r="C16" s="8" t="n">
        <v>500000</v>
      </c>
      <c r="D16" s="9">
        <f>C16/$C$18</f>
        <v/>
      </c>
    </row>
    <row r="17" ht="20" customHeight="1">
      <c r="A17" s="4" t="inlineStr">
        <is>
          <t>Pubblicità e Marketing</t>
        </is>
      </c>
      <c r="B17" s="4" t="inlineStr">
        <is>
          <t>Promozione social e nel Metaverso</t>
        </is>
      </c>
      <c r="C17" s="5" t="n">
        <v>200000</v>
      </c>
      <c r="D17" s="6">
        <f>C17/$C$18</f>
        <v/>
      </c>
    </row>
    <row r="18" ht="20" customHeight="1">
      <c r="A18" s="10" t="inlineStr">
        <is>
          <t>TOTALE USCITE</t>
        </is>
      </c>
      <c r="B18" s="11" t="inlineStr"/>
      <c r="C18" s="12">
        <f>SUM(C13:C17)</f>
        <v/>
      </c>
      <c r="D18" s="13">
        <f>SUM(D13:D17)</f>
        <v/>
      </c>
    </row>
    <row r="19"/>
    <row r="20">
      <c r="A20" s="2" t="inlineStr">
        <is>
          <t>3. Sintesi e Stima Ricavo Netto (Utile)</t>
        </is>
      </c>
    </row>
    <row r="21" ht="24" customHeight="1">
      <c r="A21" s="15" t="inlineStr">
        <is>
          <t>Voce di Bilancio</t>
        </is>
      </c>
      <c r="B21" s="15" t="inlineStr">
        <is>
          <t>Formula Applicata</t>
        </is>
      </c>
      <c r="C21" s="15" t="inlineStr">
        <is>
          <t>Valore Risultante</t>
        </is>
      </c>
      <c r="D21" s="15" t="inlineStr">
        <is>
          <t>Stato</t>
        </is>
      </c>
    </row>
    <row r="22" ht="20" customHeight="1">
      <c r="A22" s="4" t="inlineStr">
        <is>
          <t>Totale Entrate (A)</t>
        </is>
      </c>
      <c r="B22" s="4">
        <f>C9</f>
        <v/>
      </c>
      <c r="C22" s="5">
        <f>C9</f>
        <v/>
      </c>
      <c r="D22" s="16" t="inlineStr">
        <is>
          <t>Ricavo Lordo</t>
        </is>
      </c>
    </row>
    <row r="23" ht="20" customHeight="1">
      <c r="A23" s="4" t="inlineStr">
        <is>
          <t>Totale Uscite (B)</t>
        </is>
      </c>
      <c r="B23" s="4">
        <f>C18</f>
        <v/>
      </c>
      <c r="C23" s="5">
        <f>C18</f>
        <v/>
      </c>
      <c r="D23" s="16" t="inlineStr">
        <is>
          <t>Costi Totali</t>
        </is>
      </c>
    </row>
    <row r="24" ht="22" customHeight="1">
      <c r="A24" s="17" t="inlineStr">
        <is>
          <t>RICAVO NETTO (UTILE FINALE)</t>
        </is>
      </c>
      <c r="B24" s="17">
        <f>C22-C23</f>
        <v/>
      </c>
      <c r="C24" s="18">
        <f>C22-C23</f>
        <v/>
      </c>
      <c r="D24" s="19">
        <f>IF(C24&gt;0, "UTILE (ATTIVO)", "PERDITA")</f>
        <v/>
      </c>
    </row>
    <row r="25"/>
    <row r="26">
      <c r="A26" s="2" t="inlineStr">
        <is>
          <t>4. Stima Finanziaria Dettagliata per Singolo Padiglione</t>
        </is>
      </c>
    </row>
    <row r="27" ht="24" customHeight="1">
      <c r="A27" s="20" t="inlineStr">
        <is>
          <t>Padiglione Tematico</t>
        </is>
      </c>
      <c r="B27" s="20" t="inlineStr">
        <is>
          <t>Quota Interesse %</t>
        </is>
      </c>
      <c r="C27" s="20" t="inlineStr">
        <is>
          <t>Entrate Stimate (€)</t>
        </is>
      </c>
      <c r="D27" s="20" t="inlineStr">
        <is>
          <t>Uscite Stimate (€)</t>
        </is>
      </c>
      <c r="E27" s="20" t="inlineStr">
        <is>
          <t>Ricavo Netto / Utile (€)</t>
        </is>
      </c>
    </row>
    <row r="28" ht="20" customHeight="1">
      <c r="A28" s="4" t="inlineStr">
        <is>
          <t>🤖 Robotica</t>
        </is>
      </c>
      <c r="B28" s="21" t="n">
        <v>0.25</v>
      </c>
      <c r="C28" s="5">
        <f>B28*$C$9</f>
        <v/>
      </c>
      <c r="D28" s="5">
        <f>B28*$C$18</f>
        <v/>
      </c>
      <c r="E28" s="22">
        <f>C28-D28</f>
        <v/>
      </c>
    </row>
    <row r="29" ht="20" customHeight="1">
      <c r="A29" s="7" t="inlineStr">
        <is>
          <t>💻 Digitale</t>
        </is>
      </c>
      <c r="B29" s="23" t="n">
        <v>0.22</v>
      </c>
      <c r="C29" s="8">
        <f>B29*$C$9</f>
        <v/>
      </c>
      <c r="D29" s="8">
        <f>B29*$C$18</f>
        <v/>
      </c>
      <c r="E29" s="24">
        <f>C29-D29</f>
        <v/>
      </c>
    </row>
    <row r="30" ht="20" customHeight="1">
      <c r="A30" s="4" t="inlineStr">
        <is>
          <t>🚗 Settore Auto</t>
        </is>
      </c>
      <c r="B30" s="21" t="n">
        <v>0.2</v>
      </c>
      <c r="C30" s="5">
        <f>B30*$C$9</f>
        <v/>
      </c>
      <c r="D30" s="5">
        <f>B30*$C$18</f>
        <v/>
      </c>
      <c r="E30" s="22">
        <f>C30-D30</f>
        <v/>
      </c>
    </row>
    <row r="31" ht="20" customHeight="1">
      <c r="A31" s="7" t="inlineStr">
        <is>
          <t>🍎 Alimentazione</t>
        </is>
      </c>
      <c r="B31" s="23" t="n">
        <v>0.18</v>
      </c>
      <c r="C31" s="8">
        <f>B31*$C$9</f>
        <v/>
      </c>
      <c r="D31" s="8">
        <f>B31*$C$18</f>
        <v/>
      </c>
      <c r="E31" s="24">
        <f>C31-D31</f>
        <v/>
      </c>
    </row>
    <row r="32" ht="20" customHeight="1">
      <c r="A32" s="4" t="inlineStr">
        <is>
          <t>🌱 Agricoltura</t>
        </is>
      </c>
      <c r="B32" s="21" t="n">
        <v>0.15</v>
      </c>
      <c r="C32" s="5">
        <f>B32*$C$9</f>
        <v/>
      </c>
      <c r="D32" s="5">
        <f>B32*$C$18</f>
        <v/>
      </c>
      <c r="E32" s="22">
        <f>C32-D32</f>
        <v/>
      </c>
    </row>
    <row r="33" ht="20" customHeight="1">
      <c r="A33" s="10" t="inlineStr">
        <is>
          <t>TOTALE EXPO</t>
        </is>
      </c>
      <c r="B33" s="13">
        <f>SUM(B28:B32)</f>
        <v/>
      </c>
      <c r="C33" s="12">
        <f>SUM(C28:C32)</f>
        <v/>
      </c>
      <c r="D33" s="12">
        <f>SUM(D28:D32)</f>
        <v/>
      </c>
      <c r="E33" s="12">
        <f>SUM(E28:E32)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2026-05-30T11:02:22Z</dcterms:created>
  <dcterms:modified xmlns:dcterms="http://purl.org/dc/terms/" xmlns:xsi="http://www.w3.org/2001/XMLSchema-instance" xsi:type="dcterms:W3CDTF">2026-05-30T11:02:22Z</dcterms:modified>
</cp:coreProperties>
</file>